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valen\Documents\Informatique-L3\Stage_NER\NER\NER\"/>
    </mc:Choice>
  </mc:AlternateContent>
  <xr:revisionPtr revIDLastSave="0" documentId="13_ncr:1_{DA49795C-D385-4C2E-A4BC-56DD05DE3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R_202311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1" l="1"/>
  <c r="Q16" i="1"/>
  <c r="Q17" i="1"/>
  <c r="Q14" i="1"/>
  <c r="P15" i="1"/>
  <c r="P16" i="1"/>
  <c r="P17" i="1"/>
  <c r="P14" i="1"/>
  <c r="F14" i="1"/>
  <c r="O17" i="1"/>
  <c r="N17" i="1"/>
  <c r="M17" i="1"/>
  <c r="L17" i="1"/>
  <c r="O16" i="1"/>
  <c r="N16" i="1"/>
  <c r="M16" i="1"/>
  <c r="L16" i="1"/>
  <c r="O15" i="1"/>
  <c r="N15" i="1"/>
  <c r="M15" i="1"/>
  <c r="L15" i="1"/>
  <c r="O14" i="1"/>
  <c r="O8" i="1"/>
  <c r="N8" i="1"/>
  <c r="M8" i="1"/>
  <c r="L8" i="1"/>
  <c r="O6" i="1"/>
  <c r="O3" i="1"/>
  <c r="O4" i="1"/>
  <c r="O2" i="1"/>
  <c r="O5" i="1"/>
  <c r="C8" i="1"/>
  <c r="D8" i="1"/>
  <c r="B8" i="1"/>
  <c r="E7" i="1"/>
  <c r="D7" i="1"/>
  <c r="C7" i="1"/>
  <c r="B7" i="1"/>
  <c r="E8" i="1" l="1"/>
  <c r="D17" i="1"/>
  <c r="C17" i="1"/>
  <c r="B17" i="1"/>
  <c r="F17" i="1" s="1"/>
  <c r="D16" i="1"/>
  <c r="C16" i="1"/>
  <c r="B16" i="1"/>
  <c r="F16" i="1" s="1"/>
  <c r="D15" i="1"/>
  <c r="C15" i="1"/>
  <c r="B15" i="1"/>
  <c r="E14" i="1"/>
  <c r="D14" i="1"/>
  <c r="C14" i="1"/>
  <c r="B14" i="1"/>
  <c r="E16" i="1" l="1"/>
  <c r="G16" i="1" s="1"/>
  <c r="E15" i="1"/>
  <c r="G15" i="1" s="1"/>
  <c r="E17" i="1"/>
  <c r="G17" i="1" s="1"/>
  <c r="F15" i="1"/>
  <c r="G14" i="1"/>
</calcChain>
</file>

<file path=xl/sharedStrings.xml><?xml version="1.0" encoding="utf-8"?>
<sst xmlns="http://schemas.openxmlformats.org/spreadsheetml/2006/main" count="57" uniqueCount="29">
  <si>
    <t>method</t>
  </si>
  <si>
    <t>Total Founds</t>
  </si>
  <si>
    <t>Corrected</t>
  </si>
  <si>
    <t>Correct</t>
  </si>
  <si>
    <t>Accuracy</t>
  </si>
  <si>
    <t>CasEN</t>
  </si>
  <si>
    <t>Stanza</t>
  </si>
  <si>
    <t>intersection</t>
  </si>
  <si>
    <t>Time</t>
  </si>
  <si>
    <t>spaCy</t>
  </si>
  <si>
    <t>casEN_priority</t>
  </si>
  <si>
    <t>casEN</t>
  </si>
  <si>
    <t>casEN_opti</t>
  </si>
  <si>
    <t>Methods</t>
  </si>
  <si>
    <t>Total Counts</t>
  </si>
  <si>
    <t>Data Gains</t>
  </si>
  <si>
    <t>Accuracy Loss</t>
  </si>
  <si>
    <t>inter + casEN_opti</t>
  </si>
  <si>
    <t>inter + casEN_priority</t>
  </si>
  <si>
    <t>inter + opti + priority</t>
  </si>
  <si>
    <t>SpaCy + intersection</t>
  </si>
  <si>
    <t>CasEN + intersection</t>
  </si>
  <si>
    <t>583.12s</t>
  </si>
  <si>
    <t>0.18s</t>
  </si>
  <si>
    <t>0.76s</t>
  </si>
  <si>
    <t>494.06s</t>
  </si>
  <si>
    <t>75.19s</t>
  </si>
  <si>
    <t>0.55s</t>
  </si>
  <si>
    <t>2757.59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</si>
</sst>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0" fontId="0" fillId="0" borderId="0" xfId="0" applyFill="1"/>
    <xf numFmtId="0" fontId="0" fillId="2" borderId="0" xfId="0" applyFill="1"/>
    <xf numFmtId="10" fontId="0" fillId="2" borderId="0" xfId="0" applyNumberFormat="1" applyFill="1"/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0" fontId="0" fillId="5" borderId="0" xfId="0" applyFill="1"/>
    <xf numFmtId="10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zoomScale="92" workbookViewId="0">
      <selection activeCell="L8" sqref="L8"/>
    </sheetView>
  </sheetViews>
  <sheetFormatPr baseColWidth="10" defaultColWidth="8.88671875" defaultRowHeight="14.4" x14ac:dyDescent="0.3"/>
  <cols>
    <col min="1" max="1" width="19.109375" customWidth="1"/>
    <col min="2" max="2" width="11.44140625" customWidth="1"/>
    <col min="3" max="3" width="8.88671875" customWidth="1"/>
    <col min="5" max="5" width="11.88671875" customWidth="1"/>
    <col min="6" max="6" width="10.33203125" customWidth="1"/>
    <col min="7" max="7" width="13.109375" customWidth="1"/>
    <col min="8" max="8" width="11" customWidth="1"/>
    <col min="10" max="10" width="14.33203125" customWidth="1"/>
    <col min="11" max="11" width="19.5546875" customWidth="1"/>
    <col min="12" max="12" width="10" customWidth="1"/>
    <col min="15" max="15" width="12.88671875" customWidth="1"/>
    <col min="16" max="16" width="13.6640625" customWidth="1"/>
    <col min="17" max="17" width="12.44140625" customWidth="1"/>
    <col min="18" max="18" width="10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8</v>
      </c>
    </row>
    <row r="2" spans="1:18" x14ac:dyDescent="0.3">
      <c r="A2" s="7" t="s">
        <v>9</v>
      </c>
      <c r="B2" s="7">
        <v>15020</v>
      </c>
      <c r="C2" s="7">
        <v>9520</v>
      </c>
      <c r="D2" s="7">
        <v>3930</v>
      </c>
      <c r="E2" s="8">
        <v>0.41281512605042014</v>
      </c>
      <c r="F2" s="7" t="s">
        <v>26</v>
      </c>
      <c r="K2" s="9" t="s">
        <v>6</v>
      </c>
      <c r="L2" s="9">
        <v>12056</v>
      </c>
      <c r="M2" s="9">
        <v>4218</v>
      </c>
      <c r="N2" s="9">
        <v>2952</v>
      </c>
      <c r="O2" s="10">
        <f>N2/M2</f>
        <v>0.69985775248933146</v>
      </c>
      <c r="P2" s="9" t="s">
        <v>28</v>
      </c>
    </row>
    <row r="3" spans="1:18" x14ac:dyDescent="0.3">
      <c r="A3" t="s">
        <v>10</v>
      </c>
      <c r="B3">
        <v>1244</v>
      </c>
      <c r="C3">
        <v>1243</v>
      </c>
      <c r="D3">
        <v>1066</v>
      </c>
      <c r="E3" s="1">
        <v>0.85760257441673371</v>
      </c>
      <c r="F3" t="s">
        <v>23</v>
      </c>
      <c r="K3" t="s">
        <v>10</v>
      </c>
      <c r="L3">
        <v>320</v>
      </c>
      <c r="M3">
        <v>280</v>
      </c>
      <c r="N3">
        <v>136</v>
      </c>
      <c r="O3" s="1">
        <f>N3/M3</f>
        <v>0.48571428571428571</v>
      </c>
    </row>
    <row r="4" spans="1:18" x14ac:dyDescent="0.3">
      <c r="A4" t="s">
        <v>11</v>
      </c>
      <c r="B4">
        <v>4964</v>
      </c>
      <c r="C4">
        <v>2094</v>
      </c>
      <c r="D4">
        <v>1225</v>
      </c>
      <c r="E4" s="1">
        <v>0.58500477554918817</v>
      </c>
      <c r="F4" t="s">
        <v>25</v>
      </c>
      <c r="K4" t="s">
        <v>5</v>
      </c>
      <c r="L4">
        <v>3935</v>
      </c>
      <c r="M4">
        <v>1314</v>
      </c>
      <c r="N4">
        <v>472</v>
      </c>
      <c r="O4" s="1">
        <f>N4/M4</f>
        <v>0.35920852359208522</v>
      </c>
    </row>
    <row r="5" spans="1:18" x14ac:dyDescent="0.3">
      <c r="A5" t="s">
        <v>7</v>
      </c>
      <c r="B5">
        <v>5970</v>
      </c>
      <c r="C5">
        <v>5777</v>
      </c>
      <c r="D5">
        <v>5644</v>
      </c>
      <c r="E5" s="1">
        <v>0.97697767007097114</v>
      </c>
      <c r="F5" t="s">
        <v>27</v>
      </c>
      <c r="K5" t="s">
        <v>7</v>
      </c>
      <c r="L5">
        <v>6570</v>
      </c>
      <c r="M5">
        <v>6135</v>
      </c>
      <c r="N5">
        <v>5987</v>
      </c>
      <c r="O5" s="1">
        <f>N5/M5</f>
        <v>0.97587612061939688</v>
      </c>
    </row>
    <row r="6" spans="1:18" x14ac:dyDescent="0.3">
      <c r="A6" t="s">
        <v>12</v>
      </c>
      <c r="B6">
        <v>776</v>
      </c>
      <c r="C6">
        <v>762</v>
      </c>
      <c r="D6">
        <v>697</v>
      </c>
      <c r="E6" s="1">
        <v>0.91469816272965876</v>
      </c>
      <c r="F6" t="s">
        <v>24</v>
      </c>
      <c r="K6" t="s">
        <v>12</v>
      </c>
      <c r="L6">
        <v>604</v>
      </c>
      <c r="M6">
        <v>591</v>
      </c>
      <c r="N6">
        <v>522</v>
      </c>
      <c r="O6" s="1">
        <f>N6/M6</f>
        <v>0.88324873096446699</v>
      </c>
    </row>
    <row r="7" spans="1:18" x14ac:dyDescent="0.3">
      <c r="A7" t="s">
        <v>20</v>
      </c>
      <c r="B7">
        <f>B2+B5</f>
        <v>20990</v>
      </c>
      <c r="C7">
        <f>C2+C5</f>
        <v>15297</v>
      </c>
      <c r="D7">
        <f>D2+D5</f>
        <v>9574</v>
      </c>
      <c r="E7" s="1">
        <f>D7/C7</f>
        <v>0.62587435444858464</v>
      </c>
      <c r="K7" t="s">
        <v>20</v>
      </c>
    </row>
    <row r="8" spans="1:18" x14ac:dyDescent="0.3">
      <c r="A8" s="5" t="s">
        <v>21</v>
      </c>
      <c r="B8" s="5">
        <f>B4+B5</f>
        <v>10934</v>
      </c>
      <c r="C8" s="5">
        <f>C4+C5</f>
        <v>7871</v>
      </c>
      <c r="D8" s="5">
        <f>D4+D5</f>
        <v>6869</v>
      </c>
      <c r="E8" s="6">
        <f>D8/C8</f>
        <v>0.87269724304408591</v>
      </c>
      <c r="K8" s="2" t="s">
        <v>21</v>
      </c>
      <c r="L8">
        <f>L4+L5</f>
        <v>10505</v>
      </c>
      <c r="M8">
        <f>M4+M5</f>
        <v>7449</v>
      </c>
      <c r="N8">
        <f>N4+N5</f>
        <v>6459</v>
      </c>
      <c r="O8" s="1">
        <f>N8/M8</f>
        <v>0.86709625453080952</v>
      </c>
    </row>
    <row r="13" spans="1:18" x14ac:dyDescent="0.3">
      <c r="A13" t="s">
        <v>13</v>
      </c>
      <c r="B13" t="s">
        <v>14</v>
      </c>
      <c r="C13" t="s">
        <v>2</v>
      </c>
      <c r="D13" t="s">
        <v>3</v>
      </c>
      <c r="E13" t="s">
        <v>4</v>
      </c>
      <c r="F13" t="s">
        <v>15</v>
      </c>
      <c r="G13" t="s">
        <v>16</v>
      </c>
      <c r="H13" t="s">
        <v>8</v>
      </c>
      <c r="K13" t="s">
        <v>13</v>
      </c>
      <c r="L13" t="s">
        <v>14</v>
      </c>
      <c r="M13" t="s">
        <v>2</v>
      </c>
      <c r="N13" t="s">
        <v>3</v>
      </c>
      <c r="O13" t="s">
        <v>4</v>
      </c>
      <c r="P13" t="s">
        <v>15</v>
      </c>
      <c r="Q13" t="s">
        <v>16</v>
      </c>
      <c r="R13" t="s">
        <v>8</v>
      </c>
    </row>
    <row r="14" spans="1:18" x14ac:dyDescent="0.3">
      <c r="A14" s="3" t="s">
        <v>7</v>
      </c>
      <c r="B14" s="3">
        <f>B5</f>
        <v>5970</v>
      </c>
      <c r="C14" s="3">
        <f>C5</f>
        <v>5777</v>
      </c>
      <c r="D14" s="3">
        <f>D5</f>
        <v>5644</v>
      </c>
      <c r="E14" s="4">
        <f>E5</f>
        <v>0.97697767007097114</v>
      </c>
      <c r="F14" s="4">
        <f>IFERROR((B14-$B$13)/$B$13, 0)</f>
        <v>0</v>
      </c>
      <c r="G14" s="4">
        <f>$E$14-E14</f>
        <v>0</v>
      </c>
      <c r="H14" s="3"/>
      <c r="K14" t="s">
        <v>7</v>
      </c>
      <c r="L14">
        <v>6570</v>
      </c>
      <c r="M14">
        <v>6135</v>
      </c>
      <c r="N14">
        <v>5987</v>
      </c>
      <c r="O14" s="1">
        <f>N14/M14</f>
        <v>0.97587612061939688</v>
      </c>
      <c r="P14" s="1">
        <f>IFERROR((L14-$L$14)/$L$14, 0)</f>
        <v>0</v>
      </c>
      <c r="Q14" s="1">
        <f>$O$14-O14</f>
        <v>0</v>
      </c>
    </row>
    <row r="15" spans="1:18" x14ac:dyDescent="0.3">
      <c r="A15" t="s">
        <v>17</v>
      </c>
      <c r="B15">
        <f>B5+B6</f>
        <v>6746</v>
      </c>
      <c r="C15">
        <f>C5+C6</f>
        <v>6539</v>
      </c>
      <c r="D15">
        <f>D5+D6</f>
        <v>6341</v>
      </c>
      <c r="E15" s="1">
        <f>D15/C15</f>
        <v>0.9697201406942958</v>
      </c>
      <c r="F15" s="1">
        <f>IFERROR((B15-$B$14)/$B$14, 0)</f>
        <v>0.12998324958123952</v>
      </c>
      <c r="G15" s="1">
        <f>$E$14-E15</f>
        <v>7.2575293766753424E-3</v>
      </c>
      <c r="K15" t="s">
        <v>17</v>
      </c>
      <c r="L15">
        <f>L14+L6</f>
        <v>7174</v>
      </c>
      <c r="M15">
        <f>M14+M6</f>
        <v>6726</v>
      </c>
      <c r="N15">
        <f>N14+N6</f>
        <v>6509</v>
      </c>
      <c r="O15" s="1">
        <f>N15/M15</f>
        <v>0.96773713945881656</v>
      </c>
      <c r="P15" s="1">
        <f t="shared" ref="P15:P17" si="0">IFERROR((L15-$L$14)/$L$14, 0)</f>
        <v>9.1933028919330292E-2</v>
      </c>
      <c r="Q15" s="1">
        <f t="shared" ref="Q15:Q17" si="1">$O$14-O15</f>
        <v>8.1389811605803164E-3</v>
      </c>
    </row>
    <row r="16" spans="1:18" x14ac:dyDescent="0.3">
      <c r="A16" t="s">
        <v>18</v>
      </c>
      <c r="B16">
        <f>B5+B3</f>
        <v>7214</v>
      </c>
      <c r="C16">
        <f>C5+C3</f>
        <v>7020</v>
      </c>
      <c r="D16">
        <f>D5+D3</f>
        <v>6710</v>
      </c>
      <c r="E16" s="1">
        <f t="shared" ref="E16:E17" si="2">D16/C16</f>
        <v>0.95584045584045585</v>
      </c>
      <c r="F16" s="1">
        <f>IFERROR((B16-$B$14)/$B$14, 0)</f>
        <v>0.20837520938023452</v>
      </c>
      <c r="G16" s="1">
        <f>$E$14-E16</f>
        <v>2.1137214230515289E-2</v>
      </c>
      <c r="K16" t="s">
        <v>18</v>
      </c>
      <c r="L16">
        <f>L14+L3</f>
        <v>6890</v>
      </c>
      <c r="M16">
        <f>M14+M3</f>
        <v>6415</v>
      </c>
      <c r="N16">
        <f>N14+N3</f>
        <v>6123</v>
      </c>
      <c r="O16" s="1">
        <f>N16/M16</f>
        <v>0.95448168355416996</v>
      </c>
      <c r="P16" s="1">
        <f t="shared" si="0"/>
        <v>4.8706240487062402E-2</v>
      </c>
      <c r="Q16" s="1">
        <f t="shared" si="1"/>
        <v>2.1394437065226923E-2</v>
      </c>
    </row>
    <row r="17" spans="1:17" x14ac:dyDescent="0.3">
      <c r="A17" t="s">
        <v>19</v>
      </c>
      <c r="B17">
        <f>B5+B6+B3</f>
        <v>7990</v>
      </c>
      <c r="C17">
        <f>C5+C6+C3</f>
        <v>7782</v>
      </c>
      <c r="D17">
        <f>D5+D6+D3</f>
        <v>7407</v>
      </c>
      <c r="E17" s="1">
        <f t="shared" si="2"/>
        <v>0.95181187355435626</v>
      </c>
      <c r="F17" s="1">
        <f>IFERROR((B17-$B$14)/$B$14, 0)</f>
        <v>0.33835845896147404</v>
      </c>
      <c r="G17" s="1">
        <f>$E$14-E17</f>
        <v>2.516579651661488E-2</v>
      </c>
      <c r="H17" t="s">
        <v>22</v>
      </c>
      <c r="K17" t="s">
        <v>19</v>
      </c>
      <c r="L17">
        <f>L14+L6+L3</f>
        <v>7494</v>
      </c>
      <c r="M17">
        <f>M14+M6+M3</f>
        <v>7006</v>
      </c>
      <c r="N17">
        <f>N14+N6+N3</f>
        <v>6645</v>
      </c>
      <c r="O17" s="1">
        <f>N17/M17</f>
        <v>0.94847273765343987</v>
      </c>
      <c r="P17" s="1">
        <f t="shared" si="0"/>
        <v>0.14063926940639268</v>
      </c>
      <c r="Q17" s="1">
        <f t="shared" si="1"/>
        <v>2.7403382965957013E-2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NER_20231101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Gauthier</dc:creator>
  <cp:lastModifiedBy>Valentin Gauthier</cp:lastModifiedBy>
  <dcterms:created xsi:type="dcterms:W3CDTF">2015-06-05T18:19:34Z</dcterms:created>
  <dcterms:modified xsi:type="dcterms:W3CDTF">2025-06-06T06:40:46Z</dcterms:modified>
</cp:coreProperties>
</file>